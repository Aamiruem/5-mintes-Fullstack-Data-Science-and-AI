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owerBI\"/>
    </mc:Choice>
  </mc:AlternateContent>
  <xr:revisionPtr revIDLastSave="0" documentId="13_ncr:1_{08816C8A-0868-4C5A-89F2-BAFC2DEF39E1}" xr6:coauthVersionLast="47" xr6:coauthVersionMax="47" xr10:uidLastSave="{00000000-0000-0000-0000-000000000000}"/>
  <bookViews>
    <workbookView xWindow="-108" yWindow="-108" windowWidth="23256" windowHeight="12576" xr2:uid="{A1B2410C-D4F4-4E10-A434-E43B7F10A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I3" i="1"/>
  <c r="I4" i="1"/>
  <c r="I5" i="1"/>
  <c r="I6" i="1"/>
  <c r="I7" i="1"/>
  <c r="I8" i="1"/>
  <c r="I9" i="1"/>
  <c r="I10" i="1"/>
  <c r="I11" i="1"/>
  <c r="I2" i="1"/>
  <c r="H20" i="1"/>
  <c r="I16" i="1"/>
  <c r="I12" i="1"/>
  <c r="F12" i="1"/>
  <c r="F13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D14" i="1"/>
  <c r="D13" i="1"/>
  <c r="D12" i="1"/>
  <c r="C12" i="1"/>
</calcChain>
</file>

<file path=xl/sharedStrings.xml><?xml version="1.0" encoding="utf-8"?>
<sst xmlns="http://schemas.openxmlformats.org/spreadsheetml/2006/main" count="16" uniqueCount="16">
  <si>
    <t>Roll_no</t>
  </si>
  <si>
    <t>Name</t>
  </si>
  <si>
    <t>Maths</t>
  </si>
  <si>
    <t>CS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</si>
  <si>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</si>
  <si>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</si>
  <si>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</si>
  <si>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</si>
  <si>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</si>
  <si>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</si>
  <si>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</si>
  <si>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</si>
  <si>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</si>
  <si>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</si>
  <si>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Maths_result</t>
  </si>
  <si>
    <t>CS_result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</si>
</sst>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C295-B940-46CB-B742-91CC69AADB27}">
  <dimension ref="A1:I20"/>
  <sheetViews>
    <sheetView tabSelected="1" workbookViewId="0">
      <selection activeCell="J20" sqref="J20"/>
    </sheetView>
  </sheetViews>
  <sheetFormatPr defaultRowHeight="14.4" x14ac:dyDescent="0.3"/>
  <cols>
    <col min="3" max="3" width="12" bestFit="1" customWidth="1"/>
    <col min="6" max="6" width="11.6640625" bestFit="1" customWidth="1"/>
    <col min="8" max="8" width="12" bestFit="1" customWidth="1"/>
    <col min="9" max="9" width="8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14</v>
      </c>
      <c r="G1" t="s">
        <v>15</v>
      </c>
    </row>
    <row r="2" spans="1:9" x14ac:dyDescent="0.3">
      <c r="A2">
        <v>1</v>
      </c>
      <c r="B2" t="s">
        <v>4</v>
      </c>
      <c r="C2">
        <v>56</v>
      </c>
      <c r="D2">
        <v>90</v>
      </c>
      <c r="F2" t="str">
        <f>IF(C2&lt;35,"FAIL","PASS")</f>
        <v>PASS</v>
      </c>
      <c r="G2" t="str">
        <f>IF(D2&lt;35,"Fail","Pass")</f>
        <v>Pass</v>
      </c>
      <c r="I2" t="str">
        <f>IF(C2&lt;35,"FAIL","PASS")</f>
        <v>PASS</v>
      </c>
    </row>
    <row r="3" spans="1:9" x14ac:dyDescent="0.3">
      <c r="A3">
        <v>2</v>
      </c>
      <c r="B3" t="s">
        <v>5</v>
      </c>
      <c r="C3">
        <v>65</v>
      </c>
      <c r="D3">
        <v>89</v>
      </c>
      <c r="F3" t="str">
        <f t="shared" ref="F3:F11" si="0">IF(C3&lt;35,"FAIL","PASS")</f>
        <v>PASS</v>
      </c>
      <c r="G3" t="str">
        <f t="shared" ref="G3:G11" si="1">IF(D3&lt;35,"Fail","Pass")</f>
        <v>Pass</v>
      </c>
      <c r="I3" t="str">
        <f t="shared" ref="I3:I11" si="2">IF(C3&lt;35,"FAIL","PASS")</f>
        <v>PASS</v>
      </c>
    </row>
    <row r="4" spans="1:9" x14ac:dyDescent="0.3">
      <c r="A4">
        <v>3</v>
      </c>
      <c r="B4" t="s">
        <v>6</v>
      </c>
      <c r="C4">
        <v>78</v>
      </c>
      <c r="D4">
        <v>77</v>
      </c>
      <c r="F4" t="str">
        <f t="shared" si="0"/>
        <v>PASS</v>
      </c>
      <c r="G4" t="str">
        <f t="shared" si="1"/>
        <v>Pass</v>
      </c>
      <c r="I4" t="str">
        <f t="shared" si="2"/>
        <v>PASS</v>
      </c>
    </row>
    <row r="5" spans="1:9" x14ac:dyDescent="0.3">
      <c r="A5">
        <v>4</v>
      </c>
      <c r="B5" t="s">
        <v>7</v>
      </c>
      <c r="C5">
        <v>98</v>
      </c>
      <c r="D5">
        <v>65</v>
      </c>
      <c r="F5" t="str">
        <f t="shared" si="0"/>
        <v>PASS</v>
      </c>
      <c r="G5" t="str">
        <f t="shared" si="1"/>
        <v>Pass</v>
      </c>
      <c r="I5" t="str">
        <f t="shared" si="2"/>
        <v>PASS</v>
      </c>
    </row>
    <row r="6" spans="1:9" x14ac:dyDescent="0.3">
      <c r="A6">
        <v>5</v>
      </c>
      <c r="B6" t="s">
        <v>8</v>
      </c>
      <c r="C6">
        <v>34</v>
      </c>
      <c r="D6" s="1">
        <v>63</v>
      </c>
      <c r="F6" t="str">
        <f t="shared" si="0"/>
        <v>FAIL</v>
      </c>
      <c r="G6" t="str">
        <f t="shared" si="1"/>
        <v>Pass</v>
      </c>
      <c r="I6" t="str">
        <f t="shared" si="2"/>
        <v>FAIL</v>
      </c>
    </row>
    <row r="7" spans="1:9" x14ac:dyDescent="0.3">
      <c r="A7">
        <v>6</v>
      </c>
      <c r="B7" t="s">
        <v>9</v>
      </c>
      <c r="C7">
        <v>57</v>
      </c>
      <c r="D7">
        <v>33</v>
      </c>
      <c r="F7" t="str">
        <f t="shared" si="0"/>
        <v>PASS</v>
      </c>
      <c r="G7" t="str">
        <f t="shared" si="1"/>
        <v>Fail</v>
      </c>
      <c r="I7" t="str">
        <f t="shared" si="2"/>
        <v>PASS</v>
      </c>
    </row>
    <row r="8" spans="1:9" x14ac:dyDescent="0.3">
      <c r="A8">
        <v>7</v>
      </c>
      <c r="B8" t="s">
        <v>10</v>
      </c>
      <c r="C8">
        <v>89</v>
      </c>
      <c r="D8">
        <v>47</v>
      </c>
      <c r="F8" t="str">
        <f t="shared" si="0"/>
        <v>PASS</v>
      </c>
      <c r="G8" t="str">
        <f t="shared" si="1"/>
        <v>Pass</v>
      </c>
      <c r="I8" t="str">
        <f t="shared" si="2"/>
        <v>PASS</v>
      </c>
    </row>
    <row r="9" spans="1:9" x14ac:dyDescent="0.3">
      <c r="A9">
        <v>8</v>
      </c>
      <c r="B9" t="s">
        <v>11</v>
      </c>
      <c r="C9">
        <v>44</v>
      </c>
      <c r="D9" s="1">
        <v>59</v>
      </c>
      <c r="F9" t="str">
        <f t="shared" si="0"/>
        <v>PASS</v>
      </c>
      <c r="G9" t="str">
        <f t="shared" si="1"/>
        <v>Pass</v>
      </c>
      <c r="I9" t="str">
        <f t="shared" si="2"/>
        <v>PASS</v>
      </c>
    </row>
    <row r="10" spans="1:9" x14ac:dyDescent="0.3">
      <c r="A10">
        <v>9</v>
      </c>
      <c r="B10" t="s">
        <v>12</v>
      </c>
      <c r="C10">
        <v>67</v>
      </c>
      <c r="D10">
        <v>66</v>
      </c>
      <c r="F10" t="str">
        <f t="shared" si="0"/>
        <v>PASS</v>
      </c>
      <c r="G10" t="str">
        <f t="shared" si="1"/>
        <v>Pass</v>
      </c>
      <c r="I10" t="str">
        <f t="shared" si="2"/>
        <v>PASS</v>
      </c>
    </row>
    <row r="11" spans="1:9" x14ac:dyDescent="0.3">
      <c r="A11">
        <v>10</v>
      </c>
      <c r="B11" t="s">
        <v>13</v>
      </c>
      <c r="C11">
        <v>87</v>
      </c>
      <c r="D11">
        <v>79</v>
      </c>
      <c r="F11" t="str">
        <f t="shared" si="0"/>
        <v>PASS</v>
      </c>
      <c r="G11" t="str">
        <f t="shared" si="1"/>
        <v>Pass</v>
      </c>
      <c r="I11" t="str">
        <f t="shared" si="2"/>
        <v>PASS</v>
      </c>
    </row>
    <row r="12" spans="1:9" x14ac:dyDescent="0.3">
      <c r="C12">
        <f>SUM(C2:C11)</f>
        <v>675</v>
      </c>
      <c r="D12">
        <f>AVERAGE(D2:D11)</f>
        <v>66.8</v>
      </c>
      <c r="F12">
        <f>COUNT(A2:A11)</f>
        <v>10</v>
      </c>
      <c r="I12">
        <f>SUM(C2:C11)</f>
        <v>675</v>
      </c>
    </row>
    <row r="13" spans="1:9" x14ac:dyDescent="0.3">
      <c r="D13">
        <f>PRODUCT(C12:D12)</f>
        <v>45090</v>
      </c>
      <c r="F13">
        <f>MAX(C2:C11)</f>
        <v>98</v>
      </c>
    </row>
    <row r="14" spans="1:9" x14ac:dyDescent="0.3">
      <c r="D14">
        <f>MEDIAN(D2:D13)</f>
        <v>66.400000000000006</v>
      </c>
      <c r="F14">
        <f>SUMIF(C2:C11,"&gt;50",D2:D11)</f>
        <v>546</v>
      </c>
    </row>
    <row r="16" spans="1:9" x14ac:dyDescent="0.3">
      <c r="I16">
        <f>SUM(D2:D11)</f>
        <v>668</v>
      </c>
    </row>
    <row r="20" spans="8:8" x14ac:dyDescent="0.3">
      <c r="H20">
        <f>AVERAGE(C2:C11)</f>
        <v>67.5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2023-06-09T05:02:45Z</dcterms:created>
  <dcterms:modified xsi:type="dcterms:W3CDTF">2023-07-09T12:48:44Z</dcterms:modified>
</cp:coreProperties>
</file>